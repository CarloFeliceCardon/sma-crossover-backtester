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carlo/Library/Mobile Documents/com~apple~CloudDocs/Python/Tralg/"/>
    </mc:Choice>
  </mc:AlternateContent>
  <xr:revisionPtr revIDLastSave="0" documentId="13_ncr:1_{84809FC8-2E50-ED48-8D3E-50A06178E8A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9" i="1" l="1"/>
  <c r="O32" i="1"/>
  <c r="O25" i="1"/>
  <c r="O18" i="1"/>
  <c r="O11" i="1"/>
  <c r="O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<sst xmlns="http://schemas.openxmlformats.org/spreadsheetml/2006/main" count="99" uniqueCount="33">
  <si>
    <t>S&amp;P500 (^GSPC)</t>
  </si>
  <si>
    <t>last 50y</t>
  </si>
  <si>
    <t>last 10y</t>
  </si>
  <si>
    <t>2000-2010</t>
  </si>
  <si>
    <t>2010-2020</t>
  </si>
  <si>
    <t>last 7y</t>
  </si>
  <si>
    <t>2007-2012</t>
  </si>
  <si>
    <t>1995-2005</t>
  </si>
  <si>
    <t>Max drawdown</t>
  </si>
  <si>
    <t>Cap-weighted index of 500 large-cap U.S. equities; the primary benchmark for U.S. equity markets.</t>
  </si>
  <si>
    <t>Win rate</t>
  </si>
  <si>
    <t>Sharpe ratio</t>
  </si>
  <si>
    <t>The strategy performs exceptionally well on U.S. large-cap equities, delivering a Sharpe ratio above 1 in nearly every period, a win rate consistently between 60% and 100%, and a final equity of ~$300k over 50 years — confirming that the S&amp;P500's long-term upward trend is ideally suited to an SMA 50/200 crossover approach.</t>
  </si>
  <si>
    <t>Final equity</t>
  </si>
  <si>
    <t>iShares MSCI World ETF (URTH)</t>
  </si>
  <si>
    <t>ETF tracking ~1,500 large/mid-cap stocks across 23 developed markets globally (data available from 2012).</t>
  </si>
  <si>
    <t>Data is limited to post-2012 (ETF inception), but where available the strategy shows solid risk-adjusted returns (Sharpe ~2 over the full period), suggesting that developed market equities broadly share the trending behaviour that makes this approach effective.</t>
  </si>
  <si>
    <t>iShares MSCI Emerging Markets ETF (EEM)</t>
  </si>
  <si>
    <t>ETF tracking large/mid-cap equities across 24 emerging markets including China, India, and Brazil (data from 2003).</t>
  </si>
  <si>
    <t>--</t>
  </si>
  <si>
    <t>Performance is highly period-dependent — the strategy excelled in 2000–2010 (Sharpe 1.65) but broke down completely in 2010–2020 (Sharpe –0.62), reflecting the choppy, range-bound nature of emerging markets in the last decade; the elevated drawdowns (up to –31.6%) further underline the strategy's limitations in less directional markets.</t>
  </si>
  <si>
    <t>MSCI Europe (EZU)</t>
  </si>
  <si>
    <t>Proxied by EZU (iShares MSCI Eurozone ETF), covering large/mid-cap eurozone equities; note that UK and Switzerland are excluded from this proxy (data from 2000).</t>
  </si>
  <si>
    <t>Results mirror the EM pattern — strong trending behaviour rewarded the strategy in 2000–2010 (Sharpe 1.74), while the fragmented recovery of European equities post-2010 produced negative Sharpe ratios and large drawdowns (–32.67%), making this proxy one of the weaker performers in the sample.</t>
  </si>
  <si>
    <t>iShares Gold Trust (IAU)</t>
  </si>
  <si>
    <t>ETF tracking the spot price of gold bullion, commonly used as an inflation hedge and safe-haven asset (data from 2005).</t>
  </si>
  <si>
    <t>The strategy captures gold's multi-year bull runs effectively (Sharpe 1.45 overall, and an outlier 20.28 in 2000–2010 driven by very few high-conviction trades), but performance deteriorates sharply in consolidation phases, with a –22.53% drawdown in 2010–2020 highlighting gold's periodic trendlessness.</t>
  </si>
  <si>
    <t>Bitcoin USD Price (BTC-USD)</t>
  </si>
  <si>
    <t>The leading cryptocurrency by market cap, characterized by extreme volatility and the absence of underlying cash flows (data from 2014).</t>
  </si>
  <si>
    <t>Bitcoin's explosive and persistent upward trend makes it the single best-performing asset in absolute terms (final equity ~$1.4M over the available history), with Sharpe ratios above 1 across all periods where data exists; the –30% drawdowns are a reminder of the strategy's lag at trend reversals, but the overall picture is that BTC rewards trend-following more than any other asset in this sample.</t>
  </si>
  <si>
    <t>b&amp;h sharpe:</t>
  </si>
  <si>
    <t>Strategy sharpe: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</si>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</sst>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b/>
      <sz val="12"/>
      <color rgb="FF000000"/>
      <name val="Arial"/>
      <scheme val="minor"/>
    </font>
    <font>
      <sz val="8"/>
      <color rgb="FF000000"/>
      <name val="Arial"/>
      <family val="2"/>
      <scheme val="minor"/>
    </font>
    <font>
      <i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0" xfId="0" applyFont="1"/>
    <xf numFmtId="10" fontId="3" fillId="0" borderId="2" xfId="0" applyNumberFormat="1" applyFont="1" applyBorder="1"/>
    <xf numFmtId="10" fontId="3" fillId="0" borderId="3" xfId="0" applyNumberFormat="1" applyFont="1" applyBorder="1"/>
    <xf numFmtId="9" fontId="3" fillId="0" borderId="3" xfId="0" applyNumberFormat="1" applyFont="1" applyBorder="1"/>
    <xf numFmtId="0" fontId="3" fillId="0" borderId="3" xfId="0" applyFont="1" applyBorder="1"/>
    <xf numFmtId="0" fontId="3" fillId="0" borderId="2" xfId="0" applyFont="1" applyBorder="1"/>
    <xf numFmtId="0" fontId="6" fillId="0" borderId="0" xfId="0" applyFont="1"/>
    <xf numFmtId="0" fontId="2" fillId="2" borderId="0" xfId="0" applyFont="1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vertical="top"/>
    </xf>
    <xf numFmtId="164" fontId="3" fillId="0" borderId="4" xfId="0" applyNumberFormat="1" applyFont="1" applyBorder="1" applyAlignment="1">
      <alignment vertical="top"/>
    </xf>
    <xf numFmtId="164" fontId="4" fillId="0" borderId="0" xfId="0" applyNumberFormat="1" applyFont="1" applyAlignment="1">
      <alignment vertical="top"/>
    </xf>
    <xf numFmtId="0" fontId="7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P42"/>
  <sheetViews>
    <sheetView showGridLines="0" tabSelected="1" zoomScale="98" zoomScaleNormal="98" workbookViewId="0">
      <pane xSplit="2" topLeftCell="C1" activePane="topRight" state="frozen"/>
      <selection pane="topRight" activeCell="K23" sqref="K23"/>
    </sheetView>
  </sheetViews>
  <sheetFormatPr baseColWidth="10" defaultColWidth="12.6640625" defaultRowHeight="15.75" customHeight="1" x14ac:dyDescent="0.15"/>
  <cols>
    <col min="1" max="1" width="3.1640625" customWidth="1"/>
    <col min="3" max="3" width="11.6640625" bestFit="1" customWidth="1"/>
    <col min="4" max="9" width="10.1640625" customWidth="1"/>
    <col min="10" max="10" width="12.6640625" style="10"/>
    <col min="11" max="11" width="97.5" style="10" customWidth="1"/>
  </cols>
  <sheetData>
    <row r="1" spans="2:15" ht="7.5" customHeight="1" x14ac:dyDescent="0.2">
      <c r="B1" s="1"/>
      <c r="C1" s="2"/>
      <c r="D1" s="2"/>
      <c r="E1" s="2"/>
      <c r="F1" s="2"/>
      <c r="G1" s="2"/>
      <c r="H1" s="2"/>
      <c r="I1" s="2"/>
    </row>
    <row r="2" spans="2:15" ht="16" x14ac:dyDescent="0.2">
      <c r="B2" s="1"/>
      <c r="C2" s="11" t="s">
        <v>0</v>
      </c>
      <c r="D2" s="12"/>
      <c r="E2" s="12"/>
      <c r="F2" s="12"/>
      <c r="G2" s="12"/>
      <c r="H2" s="12"/>
      <c r="I2" s="12"/>
    </row>
    <row r="3" spans="2:15" ht="13" x14ac:dyDescent="0.15">
      <c r="B3" s="1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pans="2:15" ht="13" x14ac:dyDescent="0.15">
      <c r="B4" s="4" t="s">
        <v>8</v>
      </c>
      <c r="C4" s="5">
        <v>-0.1082</v>
      </c>
      <c r="D4" s="5">
        <v>-9.8599999999999993E-2</v>
      </c>
      <c r="E4" s="5">
        <v>0</v>
      </c>
      <c r="F4" s="5">
        <v>-9.8599999999999993E-2</v>
      </c>
      <c r="G4" s="5">
        <v>0</v>
      </c>
      <c r="H4" s="5">
        <v>0</v>
      </c>
      <c r="I4" s="5">
        <v>0</v>
      </c>
      <c r="J4" s="19" t="s">
        <v>9</v>
      </c>
      <c r="K4" s="20"/>
      <c r="L4" s="13" t="e" vm="1">
        <v>#VALUE!</v>
      </c>
      <c r="M4" s="12"/>
      <c r="N4" s="15" t="s">
        <v>31</v>
      </c>
      <c r="O4">
        <f>D6</f>
        <v>1.94</v>
      </c>
    </row>
    <row r="5" spans="2:15" ht="13" x14ac:dyDescent="0.15">
      <c r="B5" s="4" t="s">
        <v>10</v>
      </c>
      <c r="C5" s="6">
        <v>0.8</v>
      </c>
      <c r="D5" s="6">
        <v>0.75</v>
      </c>
      <c r="E5" s="7">
        <v>1</v>
      </c>
      <c r="F5" s="6">
        <v>0.6</v>
      </c>
      <c r="G5" s="6">
        <v>0.66669999999999996</v>
      </c>
      <c r="H5" s="6">
        <v>0.66669999999999996</v>
      </c>
      <c r="I5" s="7">
        <v>1</v>
      </c>
      <c r="J5" s="20"/>
      <c r="K5" s="20"/>
      <c r="L5" s="12"/>
      <c r="M5" s="12"/>
      <c r="N5" s="15" t="s">
        <v>30</v>
      </c>
      <c r="O5">
        <v>16.23</v>
      </c>
    </row>
    <row r="6" spans="2:15" ht="13" x14ac:dyDescent="0.15">
      <c r="B6" s="4" t="s">
        <v>11</v>
      </c>
      <c r="C6" s="8">
        <v>3.23</v>
      </c>
      <c r="D6" s="8">
        <v>1.94</v>
      </c>
      <c r="E6" s="8">
        <v>5.81</v>
      </c>
      <c r="F6" s="8">
        <v>1.1200000000000001</v>
      </c>
      <c r="G6" s="8">
        <v>1.1000000000000001</v>
      </c>
      <c r="H6" s="8">
        <v>0.85</v>
      </c>
      <c r="I6" s="8">
        <v>1.68</v>
      </c>
      <c r="J6" s="19" t="s">
        <v>12</v>
      </c>
      <c r="K6" s="20"/>
      <c r="L6" s="12"/>
      <c r="M6" s="12"/>
    </row>
    <row r="7" spans="2:15" ht="30" customHeight="1" x14ac:dyDescent="0.15">
      <c r="B7" s="4" t="s">
        <v>13</v>
      </c>
      <c r="C7" s="17">
        <v>301572.90000000002</v>
      </c>
      <c r="D7" s="17">
        <v>19402.599999999999</v>
      </c>
      <c r="E7" s="17">
        <v>16955.73</v>
      </c>
      <c r="F7" s="17">
        <v>16354.56</v>
      </c>
      <c r="G7" s="17">
        <v>15052.32</v>
      </c>
      <c r="H7" s="17">
        <v>11264.17</v>
      </c>
      <c r="I7" s="17">
        <v>23683.51</v>
      </c>
      <c r="J7" s="20"/>
      <c r="K7" s="20"/>
      <c r="L7" s="12"/>
      <c r="M7" s="12"/>
    </row>
    <row r="8" spans="2:15" ht="15.75" customHeight="1" x14ac:dyDescent="0.15">
      <c r="J8" s="15"/>
      <c r="K8" s="15"/>
    </row>
    <row r="9" spans="2:15" ht="16" x14ac:dyDescent="0.2">
      <c r="B9" s="1"/>
      <c r="C9" s="11" t="s">
        <v>14</v>
      </c>
      <c r="D9" s="12"/>
      <c r="E9" s="12"/>
      <c r="F9" s="12"/>
      <c r="G9" s="12"/>
      <c r="H9" s="12"/>
      <c r="I9" s="12"/>
      <c r="J9" s="15"/>
      <c r="K9" s="15"/>
    </row>
    <row r="10" spans="2:15" ht="13" x14ac:dyDescent="0.15">
      <c r="B10" s="1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15"/>
      <c r="K10" s="15"/>
    </row>
    <row r="11" spans="2:15" ht="13" x14ac:dyDescent="0.15">
      <c r="B11" s="4" t="s">
        <v>8</v>
      </c>
      <c r="C11" s="5">
        <v>-9.9900000000000003E-2</v>
      </c>
      <c r="D11" s="5">
        <v>-9.9900000000000003E-2</v>
      </c>
      <c r="E11" s="9"/>
      <c r="F11" s="5">
        <v>-9.9900000000000003E-2</v>
      </c>
      <c r="G11" s="5">
        <v>0</v>
      </c>
      <c r="H11" s="9"/>
      <c r="I11" s="9"/>
      <c r="J11" s="19" t="s">
        <v>15</v>
      </c>
      <c r="K11" s="20"/>
      <c r="L11" s="13" t="e" vm="2">
        <v>#VALUE!</v>
      </c>
      <c r="M11" s="12"/>
      <c r="N11" s="15" t="s">
        <v>31</v>
      </c>
      <c r="O11">
        <f>D13</f>
        <v>1.83</v>
      </c>
    </row>
    <row r="12" spans="2:15" ht="13" x14ac:dyDescent="0.15">
      <c r="B12" s="4" t="s">
        <v>10</v>
      </c>
      <c r="C12" s="6">
        <v>0.57140000000000002</v>
      </c>
      <c r="D12" s="6">
        <v>0.75</v>
      </c>
      <c r="E12" s="8"/>
      <c r="F12" s="7">
        <v>0.4</v>
      </c>
      <c r="G12" s="6">
        <v>0.66669999999999996</v>
      </c>
      <c r="H12" s="8"/>
      <c r="I12" s="8"/>
      <c r="J12" s="20"/>
      <c r="K12" s="20"/>
      <c r="L12" s="12"/>
      <c r="M12" s="12"/>
      <c r="N12" s="15" t="s">
        <v>30</v>
      </c>
      <c r="O12">
        <v>13.12</v>
      </c>
    </row>
    <row r="13" spans="2:15" ht="13" x14ac:dyDescent="0.15">
      <c r="B13" s="4" t="s">
        <v>11</v>
      </c>
      <c r="C13" s="8">
        <v>1.97</v>
      </c>
      <c r="D13" s="8">
        <v>1.83</v>
      </c>
      <c r="E13" s="8"/>
      <c r="F13" s="8">
        <v>0.96</v>
      </c>
      <c r="G13" s="8">
        <v>1.02</v>
      </c>
      <c r="H13" s="8"/>
      <c r="I13" s="8"/>
      <c r="J13" s="19" t="s">
        <v>16</v>
      </c>
      <c r="K13" s="20"/>
      <c r="L13" s="12"/>
      <c r="M13" s="12"/>
    </row>
    <row r="14" spans="2:15" ht="30" customHeight="1" x14ac:dyDescent="0.15">
      <c r="B14" s="16" t="s">
        <v>13</v>
      </c>
      <c r="C14" s="17">
        <v>24589.72</v>
      </c>
      <c r="D14" s="17">
        <v>18627.330000000002</v>
      </c>
      <c r="E14" s="17"/>
      <c r="F14" s="18">
        <v>14390.65</v>
      </c>
      <c r="G14" s="17">
        <v>14645.79</v>
      </c>
      <c r="H14" s="17"/>
      <c r="I14" s="17"/>
      <c r="J14" s="20"/>
      <c r="K14" s="20"/>
      <c r="L14" s="12"/>
      <c r="M14" s="12"/>
    </row>
    <row r="15" spans="2:15" ht="15.75" customHeight="1" x14ac:dyDescent="0.15">
      <c r="J15" s="15"/>
      <c r="K15" s="15"/>
    </row>
    <row r="16" spans="2:15" ht="16" x14ac:dyDescent="0.2">
      <c r="B16" s="1"/>
      <c r="C16" s="11" t="s">
        <v>17</v>
      </c>
      <c r="D16" s="12"/>
      <c r="E16" s="12"/>
      <c r="F16" s="12"/>
      <c r="G16" s="12"/>
      <c r="H16" s="12"/>
      <c r="I16" s="12"/>
      <c r="J16" s="15"/>
      <c r="K16" s="15"/>
    </row>
    <row r="17" spans="2:16" ht="13" x14ac:dyDescent="0.15">
      <c r="B17" s="1"/>
      <c r="C17" s="3" t="s">
        <v>1</v>
      </c>
      <c r="D17" s="3" t="s">
        <v>2</v>
      </c>
      <c r="E17" s="3" t="s">
        <v>3</v>
      </c>
      <c r="F17" s="3" t="s">
        <v>4</v>
      </c>
      <c r="G17" s="3" t="s">
        <v>5</v>
      </c>
      <c r="H17" s="3" t="s">
        <v>6</v>
      </c>
      <c r="I17" s="3" t="s">
        <v>7</v>
      </c>
      <c r="J17" s="15"/>
      <c r="K17" s="15"/>
    </row>
    <row r="18" spans="2:16" ht="13" x14ac:dyDescent="0.15">
      <c r="B18" s="4" t="s">
        <v>8</v>
      </c>
      <c r="C18" s="5">
        <v>-0.31609999999999999</v>
      </c>
      <c r="D18" s="5">
        <v>-0.2462</v>
      </c>
      <c r="E18" s="5">
        <v>-0.13500000000000001</v>
      </c>
      <c r="F18" s="5">
        <v>-0.31609999999999999</v>
      </c>
      <c r="G18" s="5">
        <v>-0.10730000000000001</v>
      </c>
      <c r="H18" s="5">
        <v>-0.13500000000000001</v>
      </c>
      <c r="I18" s="5">
        <v>0</v>
      </c>
      <c r="J18" s="19" t="s">
        <v>18</v>
      </c>
      <c r="K18" s="20"/>
      <c r="L18" s="13" t="e" vm="3">
        <v>#VALUE!</v>
      </c>
      <c r="M18" s="12"/>
      <c r="N18" s="15" t="s">
        <v>31</v>
      </c>
      <c r="O18">
        <f>D20</f>
        <v>0.46</v>
      </c>
    </row>
    <row r="19" spans="2:16" ht="13" x14ac:dyDescent="0.15">
      <c r="B19" s="4" t="s">
        <v>10</v>
      </c>
      <c r="C19" s="6">
        <v>0.4118</v>
      </c>
      <c r="D19" s="5">
        <v>0.5</v>
      </c>
      <c r="E19" s="6">
        <v>0.6</v>
      </c>
      <c r="F19" s="6">
        <v>0.1111</v>
      </c>
      <c r="G19" s="6">
        <v>0.5</v>
      </c>
      <c r="H19" s="7">
        <v>0.4</v>
      </c>
      <c r="I19" s="6">
        <v>0</v>
      </c>
      <c r="J19" s="20"/>
      <c r="K19" s="20"/>
      <c r="L19" s="12"/>
      <c r="M19" s="12"/>
      <c r="N19" s="15" t="s">
        <v>30</v>
      </c>
      <c r="O19">
        <v>3.95</v>
      </c>
    </row>
    <row r="20" spans="2:16" ht="13" x14ac:dyDescent="0.15">
      <c r="B20" s="4" t="s">
        <v>11</v>
      </c>
      <c r="C20" s="8">
        <v>1.26</v>
      </c>
      <c r="D20" s="8">
        <v>0.46</v>
      </c>
      <c r="E20" s="8">
        <v>1.65</v>
      </c>
      <c r="F20" s="8">
        <v>-0.62</v>
      </c>
      <c r="G20" s="8">
        <v>-0.02</v>
      </c>
      <c r="H20" s="8">
        <v>0.04</v>
      </c>
      <c r="I20" s="8" t="s">
        <v>19</v>
      </c>
      <c r="J20" s="19" t="s">
        <v>20</v>
      </c>
      <c r="K20" s="20"/>
      <c r="L20" s="12"/>
      <c r="M20" s="12"/>
    </row>
    <row r="21" spans="2:16" ht="30" customHeight="1" x14ac:dyDescent="0.15">
      <c r="B21" s="16" t="s">
        <v>13</v>
      </c>
      <c r="C21" s="18">
        <v>23592.29</v>
      </c>
      <c r="D21" s="18">
        <v>11274.33</v>
      </c>
      <c r="E21" s="18">
        <v>26353.21</v>
      </c>
      <c r="F21" s="18">
        <v>6606.07</v>
      </c>
      <c r="G21" s="18">
        <v>9365.7999999999993</v>
      </c>
      <c r="H21" s="18">
        <v>9534.0300000000007</v>
      </c>
      <c r="I21" s="18">
        <v>9477.7900000000009</v>
      </c>
      <c r="J21" s="20"/>
      <c r="K21" s="20"/>
      <c r="L21" s="12"/>
      <c r="M21" s="12"/>
    </row>
    <row r="22" spans="2:16" ht="15.75" customHeight="1" x14ac:dyDescent="0.15">
      <c r="J22" s="15"/>
      <c r="K22" s="15"/>
    </row>
    <row r="23" spans="2:16" ht="16" x14ac:dyDescent="0.2">
      <c r="B23" s="1"/>
      <c r="C23" s="14" t="s">
        <v>21</v>
      </c>
      <c r="D23" s="12"/>
      <c r="E23" s="12"/>
      <c r="F23" s="12"/>
      <c r="G23" s="12"/>
      <c r="H23" s="12"/>
      <c r="I23" s="12"/>
      <c r="J23" s="15"/>
      <c r="K23" s="15"/>
    </row>
    <row r="24" spans="2:16" ht="13" x14ac:dyDescent="0.15">
      <c r="B24" s="1"/>
      <c r="C24" s="3" t="s">
        <v>1</v>
      </c>
      <c r="D24" s="3" t="s">
        <v>2</v>
      </c>
      <c r="E24" s="3" t="s">
        <v>3</v>
      </c>
      <c r="F24" s="3" t="s">
        <v>4</v>
      </c>
      <c r="G24" s="3" t="s">
        <v>5</v>
      </c>
      <c r="H24" s="3" t="s">
        <v>6</v>
      </c>
      <c r="I24" s="3" t="s">
        <v>7</v>
      </c>
      <c r="J24" s="15"/>
      <c r="K24" s="15"/>
    </row>
    <row r="25" spans="2:16" ht="13" x14ac:dyDescent="0.15">
      <c r="B25" s="4" t="s">
        <v>8</v>
      </c>
      <c r="C25" s="5">
        <v>-0.34520000000000001</v>
      </c>
      <c r="D25" s="5">
        <v>-0.32669999999999999</v>
      </c>
      <c r="E25" s="5">
        <v>0</v>
      </c>
      <c r="F25" s="5">
        <v>-0.32669999999999999</v>
      </c>
      <c r="G25" s="5">
        <v>0</v>
      </c>
      <c r="H25" s="5">
        <v>-0.30220000000000002</v>
      </c>
      <c r="I25" s="5">
        <v>0</v>
      </c>
      <c r="J25" s="19" t="s">
        <v>22</v>
      </c>
      <c r="K25" s="20"/>
      <c r="L25" s="13" t="e" vm="4">
        <v>#VALUE!</v>
      </c>
      <c r="M25" s="12"/>
      <c r="N25" s="15" t="s">
        <v>31</v>
      </c>
      <c r="O25">
        <f>D27</f>
        <v>0.7</v>
      </c>
      <c r="P25" s="15" t="s">
        <v>32</v>
      </c>
    </row>
    <row r="26" spans="2:16" ht="13" x14ac:dyDescent="0.15">
      <c r="B26" s="4" t="s">
        <v>10</v>
      </c>
      <c r="C26" s="6">
        <v>0.57140000000000002</v>
      </c>
      <c r="D26" s="6">
        <v>0.8</v>
      </c>
      <c r="E26" s="7">
        <v>0.75</v>
      </c>
      <c r="F26" s="6">
        <v>0.28570000000000001</v>
      </c>
      <c r="G26" s="7">
        <v>0.75</v>
      </c>
      <c r="H26" s="6">
        <v>0.25</v>
      </c>
      <c r="I26" s="7">
        <v>0.5</v>
      </c>
      <c r="J26" s="20"/>
      <c r="K26" s="20"/>
      <c r="L26" s="12"/>
      <c r="M26" s="12"/>
      <c r="N26" s="15" t="s">
        <v>30</v>
      </c>
      <c r="O26">
        <v>5.86</v>
      </c>
    </row>
    <row r="27" spans="2:16" ht="13" x14ac:dyDescent="0.15">
      <c r="B27" s="4" t="s">
        <v>11</v>
      </c>
      <c r="C27" s="8">
        <v>1.33</v>
      </c>
      <c r="D27" s="8">
        <v>0.7</v>
      </c>
      <c r="E27" s="8">
        <v>1.74</v>
      </c>
      <c r="F27" s="8">
        <v>-0.37</v>
      </c>
      <c r="G27" s="8">
        <v>0.23</v>
      </c>
      <c r="H27" s="8">
        <v>-0.69</v>
      </c>
      <c r="I27" s="8">
        <v>0.55000000000000004</v>
      </c>
      <c r="J27" s="19" t="s">
        <v>23</v>
      </c>
      <c r="K27" s="20"/>
      <c r="L27" s="12"/>
      <c r="M27" s="12"/>
    </row>
    <row r="28" spans="2:16" ht="30" customHeight="1" x14ac:dyDescent="0.15">
      <c r="B28" s="16" t="s">
        <v>13</v>
      </c>
      <c r="C28" s="18">
        <v>24806.54</v>
      </c>
      <c r="D28" s="18">
        <v>12899.13</v>
      </c>
      <c r="E28" s="18">
        <v>25033.49</v>
      </c>
      <c r="F28" s="18">
        <v>6663.01</v>
      </c>
      <c r="G28" s="18">
        <v>10024.86</v>
      </c>
      <c r="H28" s="18">
        <v>7183.98</v>
      </c>
      <c r="I28" s="18">
        <v>11932.21</v>
      </c>
      <c r="J28" s="20"/>
      <c r="K28" s="20"/>
      <c r="L28" s="12"/>
      <c r="M28" s="12"/>
    </row>
    <row r="29" spans="2:16" ht="15.75" customHeight="1" x14ac:dyDescent="0.15">
      <c r="J29" s="15"/>
      <c r="K29" s="15"/>
    </row>
    <row r="30" spans="2:16" ht="16" x14ac:dyDescent="0.2">
      <c r="B30" s="1"/>
      <c r="C30" s="11" t="s">
        <v>24</v>
      </c>
      <c r="D30" s="12"/>
      <c r="E30" s="12"/>
      <c r="F30" s="12"/>
      <c r="G30" s="12"/>
      <c r="H30" s="12"/>
      <c r="I30" s="12"/>
      <c r="J30" s="15"/>
      <c r="K30" s="15"/>
    </row>
    <row r="31" spans="2:16" ht="13" x14ac:dyDescent="0.15">
      <c r="B31" s="1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15"/>
      <c r="K31" s="15"/>
    </row>
    <row r="32" spans="2:16" ht="13" customHeight="1" x14ac:dyDescent="0.15">
      <c r="B32" s="4" t="s">
        <v>8</v>
      </c>
      <c r="C32" s="5">
        <v>-0.2235</v>
      </c>
      <c r="D32" s="5">
        <v>-0.1241</v>
      </c>
      <c r="E32" s="5">
        <v>0</v>
      </c>
      <c r="F32" s="5">
        <v>-0.2253</v>
      </c>
      <c r="G32" s="5">
        <v>-0.1241</v>
      </c>
      <c r="H32" s="5">
        <v>0</v>
      </c>
      <c r="I32" s="9"/>
      <c r="J32" s="19" t="s">
        <v>25</v>
      </c>
      <c r="K32" s="20"/>
      <c r="L32" s="13" t="e" vm="5">
        <v>#VALUE!</v>
      </c>
      <c r="M32" s="12"/>
      <c r="N32" s="15" t="s">
        <v>31</v>
      </c>
      <c r="O32">
        <f>D34</f>
        <v>0.53</v>
      </c>
      <c r="P32" s="15" t="s">
        <v>32</v>
      </c>
    </row>
    <row r="33" spans="2:15" ht="13" x14ac:dyDescent="0.15">
      <c r="B33" s="4" t="s">
        <v>10</v>
      </c>
      <c r="C33" s="6">
        <v>0.46150000000000002</v>
      </c>
      <c r="D33" s="6">
        <v>0.42859999999999998</v>
      </c>
      <c r="E33" s="7">
        <v>1</v>
      </c>
      <c r="F33" s="6">
        <v>0.33329999999999999</v>
      </c>
      <c r="G33" s="6">
        <v>0.4</v>
      </c>
      <c r="H33" s="7">
        <v>1</v>
      </c>
      <c r="I33" s="8"/>
      <c r="J33" s="20"/>
      <c r="K33" s="20"/>
      <c r="L33" s="12"/>
      <c r="M33" s="12"/>
      <c r="N33" s="15" t="s">
        <v>30</v>
      </c>
      <c r="O33">
        <v>6.31</v>
      </c>
    </row>
    <row r="34" spans="2:15" ht="13" x14ac:dyDescent="0.15">
      <c r="B34" s="4" t="s">
        <v>11</v>
      </c>
      <c r="C34" s="8">
        <v>1.45</v>
      </c>
      <c r="D34" s="8">
        <v>0.53</v>
      </c>
      <c r="E34" s="8">
        <v>20.28</v>
      </c>
      <c r="F34" s="8">
        <v>-0.04</v>
      </c>
      <c r="G34" s="8">
        <v>0.25</v>
      </c>
      <c r="H34" s="8">
        <v>1.1299999999999999</v>
      </c>
      <c r="I34" s="8"/>
      <c r="J34" s="19" t="s">
        <v>26</v>
      </c>
      <c r="K34" s="20"/>
      <c r="L34" s="12"/>
      <c r="M34" s="12"/>
    </row>
    <row r="35" spans="2:15" ht="30" customHeight="1" x14ac:dyDescent="0.15">
      <c r="B35" s="16" t="s">
        <v>13</v>
      </c>
      <c r="C35" s="18">
        <v>26081.08</v>
      </c>
      <c r="D35" s="18">
        <v>11681.47</v>
      </c>
      <c r="E35" s="18">
        <v>16111.44</v>
      </c>
      <c r="F35" s="18">
        <v>16111.44</v>
      </c>
      <c r="G35" s="18">
        <v>10379.950000000001</v>
      </c>
      <c r="H35" s="18">
        <v>17847.23</v>
      </c>
      <c r="I35" s="17"/>
      <c r="J35" s="20"/>
      <c r="K35" s="20"/>
      <c r="L35" s="12"/>
      <c r="M35" s="12"/>
    </row>
    <row r="36" spans="2:15" ht="15" customHeight="1" x14ac:dyDescent="0.15">
      <c r="J36" s="15"/>
      <c r="K36" s="15"/>
    </row>
    <row r="37" spans="2:15" ht="16" x14ac:dyDescent="0.2">
      <c r="B37" s="1"/>
      <c r="C37" s="11" t="s">
        <v>27</v>
      </c>
      <c r="D37" s="12"/>
      <c r="E37" s="12"/>
      <c r="F37" s="12"/>
      <c r="G37" s="12"/>
      <c r="H37" s="12"/>
      <c r="I37" s="12"/>
      <c r="J37" s="15"/>
      <c r="K37" s="15"/>
    </row>
    <row r="38" spans="2:15" ht="13" x14ac:dyDescent="0.15">
      <c r="B38" s="1"/>
      <c r="C38" s="3" t="s">
        <v>1</v>
      </c>
      <c r="D38" s="3" t="s">
        <v>2</v>
      </c>
      <c r="E38" s="3" t="s">
        <v>3</v>
      </c>
      <c r="F38" s="3" t="s">
        <v>4</v>
      </c>
      <c r="G38" s="3" t="s">
        <v>5</v>
      </c>
      <c r="H38" s="3" t="s">
        <v>6</v>
      </c>
      <c r="I38" s="3" t="s">
        <v>7</v>
      </c>
      <c r="J38" s="15"/>
      <c r="K38" s="15"/>
    </row>
    <row r="39" spans="2:15" ht="13" x14ac:dyDescent="0.15">
      <c r="B39" s="4" t="s">
        <v>8</v>
      </c>
      <c r="C39" s="5">
        <v>-0.30009999999999998</v>
      </c>
      <c r="D39" s="5">
        <v>-0.30099999999999999</v>
      </c>
      <c r="E39" s="9"/>
      <c r="F39" s="5">
        <v>-0.30031000000000002</v>
      </c>
      <c r="G39" s="9">
        <v>-30.01</v>
      </c>
      <c r="H39" s="9"/>
      <c r="I39" s="9"/>
      <c r="J39" s="19" t="s">
        <v>28</v>
      </c>
      <c r="K39" s="20"/>
      <c r="L39" s="13" t="e" vm="6">
        <v>#VALUE!</v>
      </c>
      <c r="M39" s="12"/>
      <c r="N39" s="15" t="s">
        <v>31</v>
      </c>
      <c r="O39">
        <f>D41</f>
        <v>1.44</v>
      </c>
    </row>
    <row r="40" spans="2:15" ht="13" x14ac:dyDescent="0.15">
      <c r="B40" s="4" t="s">
        <v>10</v>
      </c>
      <c r="C40" s="7">
        <v>0.6</v>
      </c>
      <c r="D40" s="6">
        <v>0.66669999999999996</v>
      </c>
      <c r="E40" s="8"/>
      <c r="F40" s="7">
        <v>0.5</v>
      </c>
      <c r="G40" s="7">
        <v>0.5</v>
      </c>
      <c r="H40" s="8"/>
      <c r="I40" s="8"/>
      <c r="J40" s="20"/>
      <c r="K40" s="20"/>
      <c r="L40" s="12"/>
      <c r="M40" s="12"/>
      <c r="N40" s="15" t="s">
        <v>30</v>
      </c>
      <c r="O40">
        <v>5.73</v>
      </c>
    </row>
    <row r="41" spans="2:15" ht="13" x14ac:dyDescent="0.15">
      <c r="B41" s="4" t="s">
        <v>11</v>
      </c>
      <c r="C41" s="8">
        <v>1.19</v>
      </c>
      <c r="D41" s="8">
        <v>1.44</v>
      </c>
      <c r="E41" s="8"/>
      <c r="F41" s="8">
        <v>1.02</v>
      </c>
      <c r="G41" s="8">
        <v>1.05</v>
      </c>
      <c r="H41" s="8"/>
      <c r="I41" s="8"/>
      <c r="J41" s="19" t="s">
        <v>29</v>
      </c>
      <c r="K41" s="20"/>
      <c r="L41" s="12"/>
      <c r="M41" s="12"/>
    </row>
    <row r="42" spans="2:15" ht="30" customHeight="1" x14ac:dyDescent="0.15">
      <c r="B42" s="16" t="s">
        <v>13</v>
      </c>
      <c r="C42" s="18">
        <v>1405076.53</v>
      </c>
      <c r="D42" s="18">
        <v>813404.49</v>
      </c>
      <c r="E42" s="17"/>
      <c r="F42" s="17">
        <v>229405.64</v>
      </c>
      <c r="G42" s="18">
        <v>37980.58</v>
      </c>
      <c r="H42" s="17"/>
      <c r="I42" s="17"/>
      <c r="J42" s="20"/>
      <c r="K42" s="20"/>
      <c r="L42" s="12"/>
      <c r="M42" s="12"/>
    </row>
  </sheetData>
  <mergeCells count="24">
    <mergeCell ref="C2:I2"/>
    <mergeCell ref="J4:K5"/>
    <mergeCell ref="L4:M7"/>
    <mergeCell ref="J6:K7"/>
    <mergeCell ref="C9:I9"/>
    <mergeCell ref="J11:K12"/>
    <mergeCell ref="L11:M14"/>
    <mergeCell ref="J25:K26"/>
    <mergeCell ref="J27:K28"/>
    <mergeCell ref="J32:K33"/>
    <mergeCell ref="L32:M35"/>
    <mergeCell ref="J34:K35"/>
    <mergeCell ref="J13:K14"/>
    <mergeCell ref="L25:M28"/>
    <mergeCell ref="J39:K40"/>
    <mergeCell ref="L39:M42"/>
    <mergeCell ref="J41:K42"/>
    <mergeCell ref="C30:I30"/>
    <mergeCell ref="C37:I37"/>
    <mergeCell ref="C16:I16"/>
    <mergeCell ref="J18:K19"/>
    <mergeCell ref="L18:M21"/>
    <mergeCell ref="J20:K21"/>
    <mergeCell ref="C23:I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A00046437 Carlo Felice Cardon</cp:lastModifiedBy>
  <dcterms:modified xsi:type="dcterms:W3CDTF">2026-04-01T09:20:47Z</dcterms:modified>
</cp:coreProperties>
</file>