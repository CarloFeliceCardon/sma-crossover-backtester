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\(#,##0.00\)"/>
  </numFmts>
  <fonts count="9">
    <font>
      <name val="Arial"/>
      <color rgb="FF000000"/>
      <sz val="10"/>
      <scheme val="minor"/>
    </font>
    <font>
      <name val="Arial"/>
      <b val="1"/>
      <color theme="1"/>
      <sz val="10"/>
      <scheme val="minor"/>
    </font>
    <font>
      <name val="Arial"/>
      <b val="1"/>
      <color theme="1"/>
      <sz val="12"/>
      <scheme val="minor"/>
    </font>
    <font>
      <name val="Arial"/>
      <color theme="1"/>
      <sz val="10"/>
      <scheme val="minor"/>
    </font>
    <font>
      <name val="Arial"/>
      <color rgb="FF000000"/>
      <sz val="10"/>
      <scheme val="minor"/>
    </font>
    <font>
      <name val="Arial"/>
      <b val="1"/>
      <color rgb="FF000000"/>
      <sz val="12"/>
      <scheme val="minor"/>
    </font>
    <font>
      <name val="Arial"/>
      <family val="2"/>
      <color rgb="FF000000"/>
      <sz val="8"/>
      <scheme val="minor"/>
    </font>
    <font>
      <name val="Arial"/>
      <family val="2"/>
      <i val="1"/>
      <color theme="1"/>
      <sz val="10"/>
      <scheme val="minor"/>
    </font>
    <font>
      <name val="Arial"/>
      <family val="2"/>
      <color rgb="FF000000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4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0" pivotButton="0" quotePrefix="0" xfId="0"/>
    <xf numFmtId="10" fontId="3" fillId="0" borderId="2" pivotButton="0" quotePrefix="0" xfId="0"/>
    <xf numFmtId="10" fontId="3" fillId="0" borderId="3" pivotButton="0" quotePrefix="0" xfId="0"/>
    <xf numFmtId="9" fontId="3" fillId="0" borderId="3" pivotButton="0" quotePrefix="0" xfId="0"/>
    <xf numFmtId="0" fontId="3" fillId="0" borderId="3" pivotButton="0" quotePrefix="0" xfId="0"/>
    <xf numFmtId="0" fontId="3" fillId="0" borderId="2" pivotButton="0" quotePrefix="0" xfId="0"/>
    <xf numFmtId="0" fontId="6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/>
    </xf>
    <xf numFmtId="0" fontId="8" fillId="0" borderId="0" pivotButton="0" quotePrefix="0" xfId="0"/>
    <xf numFmtId="0" fontId="3" fillId="0" borderId="0" applyAlignment="1" pivotButton="0" quotePrefix="0" xfId="0">
      <alignment vertical="top"/>
    </xf>
    <xf numFmtId="164" fontId="3" fillId="0" borderId="4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1:P42"/>
  <sheetViews>
    <sheetView showGridLines="0" tabSelected="1" zoomScale="98" zoomScaleNormal="98" workbookViewId="0">
      <pane xSplit="2" topLeftCell="C1" activePane="topRight" state="frozen"/>
      <selection pane="topRight" activeCell="K23" sqref="K23"/>
    </sheetView>
  </sheetViews>
  <sheetFormatPr baseColWidth="10" defaultColWidth="12.6640625" defaultRowHeight="15.75" customHeight="1"/>
  <cols>
    <col width="3.1640625" customWidth="1" style="12" min="1" max="1"/>
    <col width="11.6640625" bestFit="1" customWidth="1" style="12" min="3" max="3"/>
    <col width="10.1640625" customWidth="1" style="12" min="4" max="9"/>
    <col width="12.6640625" customWidth="1" style="10" min="10" max="10"/>
    <col width="97.5" customWidth="1" style="10" min="11" max="11"/>
  </cols>
  <sheetData>
    <row r="1" ht="7.5" customHeight="1" s="12">
      <c r="B1" s="1" t="n"/>
      <c r="C1" s="2" t="n"/>
      <c r="D1" s="2" t="n"/>
      <c r="E1" s="2" t="n"/>
      <c r="F1" s="2" t="n"/>
      <c r="G1" s="2" t="n"/>
      <c r="H1" s="2" t="n"/>
      <c r="I1" s="2" t="n"/>
    </row>
    <row r="2" ht="16" customHeight="1" s="12">
      <c r="B2" s="1" t="n"/>
      <c r="C2" s="11" t="inlineStr">
        <is>
          <t>S&amp;P500 (^GSPC)</t>
        </is>
      </c>
    </row>
    <row r="3" ht="13" customHeight="1" s="12">
      <c r="B3" s="1" t="n"/>
      <c r="C3" s="3" t="inlineStr">
        <is>
          <t>last 50y</t>
        </is>
      </c>
      <c r="D3" s="3" t="inlineStr">
        <is>
          <t>last 10y</t>
        </is>
      </c>
      <c r="E3" s="3" t="inlineStr">
        <is>
          <t>2000-2010</t>
        </is>
      </c>
      <c r="F3" s="3" t="inlineStr">
        <is>
          <t>2010-2020</t>
        </is>
      </c>
      <c r="G3" s="3" t="inlineStr">
        <is>
          <t>last 7y</t>
        </is>
      </c>
      <c r="H3" s="3" t="inlineStr">
        <is>
          <t>2007-2012</t>
        </is>
      </c>
      <c r="I3" s="3" t="inlineStr">
        <is>
          <t>1995-2005</t>
        </is>
      </c>
    </row>
    <row r="4" ht="13" customHeight="1" s="12">
      <c r="B4" s="4" t="inlineStr">
        <is>
          <t>Max drawdown</t>
        </is>
      </c>
      <c r="C4" s="5" t="n">
        <v>-0.1081935108111262</v>
      </c>
      <c r="D4" s="5" t="n">
        <v>-0.09857908766145716</v>
      </c>
      <c r="E4" s="5" t="n">
        <v>0</v>
      </c>
      <c r="F4" s="5" t="n">
        <v>-0.04918655911229684</v>
      </c>
      <c r="G4" s="5" t="n">
        <v>0</v>
      </c>
      <c r="H4" s="5" t="n">
        <v>0</v>
      </c>
      <c r="I4" s="5" t="n">
        <v>0</v>
      </c>
      <c r="J4" s="19" t="inlineStr">
        <is>
          <t>Cap-weighted index of 500 large-cap U.S. equities; the primary benchmark for U.S. equity markets.</t>
        </is>
      </c>
      <c r="L4" s="13" t="e">
        <v>#VALUE!</v>
      </c>
      <c r="N4" s="20" t="inlineStr">
        <is>
          <t>Strategy sharpe:</t>
        </is>
      </c>
      <c r="O4">
        <f>D6</f>
        <v/>
      </c>
    </row>
    <row r="5" ht="13" customHeight="1" s="12">
      <c r="B5" s="4" t="inlineStr">
        <is>
          <t>Win rate</t>
        </is>
      </c>
      <c r="C5" s="6" t="n">
        <v>0.8333333333333334</v>
      </c>
      <c r="D5" s="6" t="n">
        <v>0.8</v>
      </c>
      <c r="E5" s="7" t="n">
        <v>1</v>
      </c>
      <c r="F5" s="6" t="n">
        <v>0.8</v>
      </c>
      <c r="G5" s="6" t="n">
        <v>1</v>
      </c>
      <c r="H5" s="6" t="n">
        <v>0.6666666666666666</v>
      </c>
      <c r="I5" s="7" t="n">
        <v>1</v>
      </c>
      <c r="N5" s="20" t="inlineStr">
        <is>
          <t>b&amp;h sharpe:</t>
        </is>
      </c>
      <c r="O5" t="n">
        <v>16.23</v>
      </c>
    </row>
    <row r="6" ht="13" customHeight="1" s="12">
      <c r="B6" s="4" t="inlineStr">
        <is>
          <t>Sharpe ratio</t>
        </is>
      </c>
      <c r="C6" s="8" t="n">
        <v>0.6281950336757313</v>
      </c>
      <c r="D6" s="8" t="n">
        <v>0.5597300110861263</v>
      </c>
      <c r="E6" s="8" t="n">
        <v>0.6939147565523655</v>
      </c>
      <c r="F6" s="8" t="n">
        <v>0.6832950631243592</v>
      </c>
      <c r="G6" s="8" t="n">
        <v>0.8960485901379133</v>
      </c>
      <c r="H6" s="8" t="n">
        <v>0.214236256683523</v>
      </c>
      <c r="I6" s="8" t="n">
        <v>0.7737027441704633</v>
      </c>
      <c r="J6" s="19" t="inlineStr">
        <is>
          <t>The strategy performs exceptionally well on U.S. large-cap equities, delivering a Sharpe ratio above 1 in nearly every period, a win rate consistently between 60% and 100%, and a final equity of ~$300k over 50 years — confirming that the S&amp;P500's long-term upward trend is ideally suited to an SMA 50/200 crossover approach.</t>
        </is>
      </c>
    </row>
    <row r="7" ht="30" customHeight="1" s="12">
      <c r="B7" s="4" t="inlineStr">
        <is>
          <t>Final equity</t>
        </is>
      </c>
      <c r="C7" s="17" t="n">
        <v>373976.6267817971</v>
      </c>
      <c r="D7" s="17" t="n">
        <v>20695.47287443569</v>
      </c>
      <c r="E7" s="17" t="n">
        <v>18391.27136422386</v>
      </c>
      <c r="F7" s="17" t="n">
        <v>20443.47436246082</v>
      </c>
      <c r="G7" s="17" t="n">
        <v>21172.83606153036</v>
      </c>
      <c r="H7" s="17" t="n">
        <v>11264.17072737115</v>
      </c>
      <c r="I7" s="17" t="n">
        <v>24639.68724476636</v>
      </c>
    </row>
    <row r="8" ht="15.75" customHeight="1" s="12">
      <c r="J8" s="20" t="n"/>
      <c r="K8" s="20" t="n"/>
    </row>
    <row r="9" ht="16" customHeight="1" s="12">
      <c r="B9" s="1" t="n"/>
      <c r="C9" s="11" t="inlineStr">
        <is>
          <t>iShares MSCI World ETF (URTH)</t>
        </is>
      </c>
      <c r="J9" s="20" t="n"/>
      <c r="K9" s="20" t="n"/>
    </row>
    <row r="10" ht="13" customHeight="1" s="12">
      <c r="B10" s="1" t="n"/>
      <c r="C10" s="3" t="inlineStr">
        <is>
          <t>last 50y</t>
        </is>
      </c>
      <c r="D10" s="3" t="inlineStr">
        <is>
          <t>last 10y</t>
        </is>
      </c>
      <c r="E10" s="3" t="inlineStr">
        <is>
          <t>2000-2010</t>
        </is>
      </c>
      <c r="F10" s="3" t="inlineStr">
        <is>
          <t>2010-2020</t>
        </is>
      </c>
      <c r="G10" s="3" t="inlineStr">
        <is>
          <t>last 7y</t>
        </is>
      </c>
      <c r="H10" s="3" t="inlineStr">
        <is>
          <t>2007-2012</t>
        </is>
      </c>
      <c r="I10" s="3" t="inlineStr">
        <is>
          <t>1995-2005</t>
        </is>
      </c>
      <c r="J10" s="20" t="n"/>
      <c r="K10" s="20" t="n"/>
    </row>
    <row r="11" ht="13" customHeight="1" s="12">
      <c r="B11" s="4" t="inlineStr">
        <is>
          <t>Max drawdown</t>
        </is>
      </c>
      <c r="C11" s="5" t="n">
        <v>-0.09985711181875331</v>
      </c>
      <c r="D11" s="5" t="n">
        <v>-0.09985711181875347</v>
      </c>
      <c r="E11" s="9" t="n"/>
      <c r="F11" s="5" t="n">
        <v>-0.07400418963394889</v>
      </c>
      <c r="G11" s="5" t="n">
        <v>0</v>
      </c>
      <c r="H11" s="9" t="n"/>
      <c r="I11" s="9" t="n"/>
      <c r="J11" s="19" t="inlineStr">
        <is>
          <t>ETF tracking ~1,500 large/mid-cap stocks across 23 developed markets globally (data available from 2012).</t>
        </is>
      </c>
      <c r="L11" s="13" t="e">
        <v>#VALUE!</v>
      </c>
      <c r="N11" s="20" t="inlineStr">
        <is>
          <t>Strategy sharpe:</t>
        </is>
      </c>
      <c r="O11">
        <f>D13</f>
        <v/>
      </c>
    </row>
    <row r="12" ht="13" customHeight="1" s="12">
      <c r="B12" s="4" t="inlineStr">
        <is>
          <t>Win rate</t>
        </is>
      </c>
      <c r="C12" s="6" t="n">
        <v>0.625</v>
      </c>
      <c r="D12" s="6" t="n">
        <v>0.8</v>
      </c>
      <c r="E12" s="8" t="n"/>
      <c r="F12" s="7" t="n">
        <v>0.6</v>
      </c>
      <c r="G12" s="6" t="n">
        <v>1</v>
      </c>
      <c r="H12" s="8" t="n"/>
      <c r="I12" s="8" t="n"/>
      <c r="N12" s="20" t="inlineStr">
        <is>
          <t>b&amp;h sharpe:</t>
        </is>
      </c>
      <c r="O12" t="n">
        <v>13.12</v>
      </c>
    </row>
    <row r="13" ht="13" customHeight="1" s="12">
      <c r="B13" s="4" t="inlineStr">
        <is>
          <t>Sharpe ratio</t>
        </is>
      </c>
      <c r="C13" s="8" t="n">
        <v>0.5811126353686588</v>
      </c>
      <c r="D13" s="8" t="n">
        <v>0.5511852338938384</v>
      </c>
      <c r="E13" s="8" t="n"/>
      <c r="F13" s="8" t="n">
        <v>0.6532673486770997</v>
      </c>
      <c r="G13" s="8" t="n">
        <v>0.9456725588727534</v>
      </c>
      <c r="H13" s="8" t="n"/>
      <c r="I13" s="8" t="n"/>
      <c r="J13" s="19" t="inlineStr">
        <is>
          <t>Data is limited to post-2012 (ETF inception), but where available the strategy shows solid risk-adjusted returns (Sharpe ~2 over the full period), suggesting that developed market equities broadly share the trending behaviour that makes this approach effective.</t>
        </is>
      </c>
    </row>
    <row r="14" ht="30" customHeight="1" s="12">
      <c r="B14" s="16" t="inlineStr">
        <is>
          <t>Final equity</t>
        </is>
      </c>
      <c r="C14" s="17" t="n">
        <v>31217.46732455614</v>
      </c>
      <c r="D14" s="17" t="n">
        <v>20640.02711135184</v>
      </c>
      <c r="E14" s="17" t="n"/>
      <c r="F14" s="18" t="n">
        <v>17989.23740346125</v>
      </c>
      <c r="G14" s="17" t="n">
        <v>21692.86734263198</v>
      </c>
      <c r="H14" s="17" t="n"/>
      <c r="I14" s="17" t="n"/>
    </row>
    <row r="15" ht="15.75" customHeight="1" s="12">
      <c r="J15" s="20" t="n"/>
      <c r="K15" s="20" t="n"/>
    </row>
    <row r="16" ht="16" customHeight="1" s="12">
      <c r="B16" s="1" t="n"/>
      <c r="C16" s="11" t="inlineStr">
        <is>
          <t>iShares MSCI Emerging Markets ETF (EEM)</t>
        </is>
      </c>
      <c r="J16" s="20" t="n"/>
      <c r="K16" s="20" t="n"/>
    </row>
    <row r="17" ht="13" customHeight="1" s="12">
      <c r="B17" s="1" t="n"/>
      <c r="C17" s="3" t="inlineStr">
        <is>
          <t>last 50y</t>
        </is>
      </c>
      <c r="D17" s="3" t="inlineStr">
        <is>
          <t>last 10y</t>
        </is>
      </c>
      <c r="E17" s="3" t="inlineStr">
        <is>
          <t>2000-2010</t>
        </is>
      </c>
      <c r="F17" s="3" t="inlineStr">
        <is>
          <t>2010-2020</t>
        </is>
      </c>
      <c r="G17" s="3" t="inlineStr">
        <is>
          <t>last 7y</t>
        </is>
      </c>
      <c r="H17" s="3" t="inlineStr">
        <is>
          <t>2007-2012</t>
        </is>
      </c>
      <c r="I17" s="3" t="inlineStr">
        <is>
          <t>1995-2005</t>
        </is>
      </c>
      <c r="J17" s="20" t="n"/>
      <c r="K17" s="20" t="n"/>
    </row>
    <row r="18" ht="13" customHeight="1" s="12">
      <c r="B18" s="4" t="inlineStr">
        <is>
          <t>Max drawdown</t>
        </is>
      </c>
      <c r="C18" s="5" t="n">
        <v>-0.3161493907184754</v>
      </c>
      <c r="D18" s="5" t="n">
        <v>-0.2461594931961471</v>
      </c>
      <c r="E18" s="5" t="n">
        <v>-0.1349653297157661</v>
      </c>
      <c r="F18" s="5" t="n">
        <v>-0.3161493907184752</v>
      </c>
      <c r="G18" s="5" t="n">
        <v>-0.1073125883684036</v>
      </c>
      <c r="H18" s="5" t="n">
        <v>-0.1349653297157662</v>
      </c>
      <c r="I18" s="5" t="n">
        <v>0</v>
      </c>
      <c r="J18" s="19" t="inlineStr">
        <is>
          <t>ETF tracking large/mid-cap equities across 24 emerging markets including China, India, and Brazil (data from 2003).</t>
        </is>
      </c>
      <c r="L18" s="13" t="e">
        <v>#VALUE!</v>
      </c>
      <c r="N18" s="20" t="inlineStr">
        <is>
          <t>Strategy sharpe:</t>
        </is>
      </c>
      <c r="O18">
        <f>D20</f>
        <v/>
      </c>
    </row>
    <row r="19" ht="13" customHeight="1" s="12">
      <c r="B19" s="4" t="inlineStr">
        <is>
          <t>Win rate</t>
        </is>
      </c>
      <c r="C19" s="6" t="n">
        <v>0.4444444444444444</v>
      </c>
      <c r="D19" s="5" t="n">
        <v>0.5714285714285714</v>
      </c>
      <c r="E19" s="6" t="n">
        <v>0.6</v>
      </c>
      <c r="F19" s="6" t="n">
        <v>0.2222222222222222</v>
      </c>
      <c r="G19" s="6" t="n">
        <v>0.75</v>
      </c>
      <c r="H19" s="7" t="n">
        <v>0.5</v>
      </c>
      <c r="I19" s="6" t="n">
        <v>0.5</v>
      </c>
      <c r="N19" s="20" t="inlineStr">
        <is>
          <t>b&amp;h sharpe:</t>
        </is>
      </c>
      <c r="O19" t="n">
        <v>3.95</v>
      </c>
    </row>
    <row r="20" ht="13" customHeight="1" s="12">
      <c r="B20" s="4" t="inlineStr">
        <is>
          <t>Sharpe ratio</t>
        </is>
      </c>
      <c r="C20" s="8" t="n">
        <v>0.3218700770894998</v>
      </c>
      <c r="D20" s="8" t="n">
        <v>0.2870030248227453</v>
      </c>
      <c r="E20" s="8" t="n">
        <v>0.7087287300500509</v>
      </c>
      <c r="F20" s="8" t="n">
        <v>-0.09344221323842788</v>
      </c>
      <c r="G20" s="8" t="n">
        <v>0.6257795702281719</v>
      </c>
      <c r="H20" s="8" t="n">
        <v>0.01405715778982191</v>
      </c>
      <c r="I20" s="8" t="n">
        <v>0.5329737315846735</v>
      </c>
      <c r="J20" s="19" t="inlineStr">
        <is>
          <t>Performance is highly period-dependent — the strategy excelled in 2000–2010 (Sharpe 1.65) but broke down completely in 2010–2020 (Sharpe –0.62), reflecting the choppy, range-bound nature of emerging markets in the last decade; the elevated drawdowns (up to –31.6%) further underline the strategy's limitations in less directional markets.</t>
        </is>
      </c>
    </row>
    <row r="21" ht="30" customHeight="1" s="12">
      <c r="B21" s="16" t="inlineStr">
        <is>
          <t>Final equity</t>
        </is>
      </c>
      <c r="C21" s="18" t="n">
        <v>35446.65079456227</v>
      </c>
      <c r="D21" s="18" t="n">
        <v>15041.63968985103</v>
      </c>
      <c r="E21" s="18" t="n">
        <v>26930.75300415976</v>
      </c>
      <c r="F21" s="18" t="n">
        <v>9006.829123580381</v>
      </c>
      <c r="G21" s="18" t="n">
        <v>17913.69476338531</v>
      </c>
      <c r="H21" s="18" t="n">
        <v>10632.37178756048</v>
      </c>
      <c r="I21" s="18" t="n">
        <v>11234.42335352865</v>
      </c>
    </row>
    <row r="22" ht="15.75" customHeight="1" s="12">
      <c r="J22" s="20" t="n"/>
      <c r="K22" s="20" t="n"/>
    </row>
    <row r="23" ht="16" customHeight="1" s="12">
      <c r="B23" s="1" t="n"/>
      <c r="C23" s="14" t="inlineStr">
        <is>
          <t>MSCI Europe (EZU)</t>
        </is>
      </c>
      <c r="J23" s="20" t="n"/>
      <c r="K23" s="20" t="n"/>
    </row>
    <row r="24" ht="13" customHeight="1" s="12">
      <c r="B24" s="1" t="n"/>
      <c r="C24" s="3" t="inlineStr">
        <is>
          <t>last 50y</t>
        </is>
      </c>
      <c r="D24" s="3" t="inlineStr">
        <is>
          <t>last 10y</t>
        </is>
      </c>
      <c r="E24" s="3" t="inlineStr">
        <is>
          <t>2000-2010</t>
        </is>
      </c>
      <c r="F24" s="3" t="inlineStr">
        <is>
          <t>2010-2020</t>
        </is>
      </c>
      <c r="G24" s="3" t="inlineStr">
        <is>
          <t>last 7y</t>
        </is>
      </c>
      <c r="H24" s="3" t="inlineStr">
        <is>
          <t>2007-2012</t>
        </is>
      </c>
      <c r="I24" s="3" t="inlineStr">
        <is>
          <t>1995-2005</t>
        </is>
      </c>
      <c r="J24" s="20" t="n"/>
      <c r="K24" s="20" t="n"/>
    </row>
    <row r="25" ht="13" customHeight="1" s="12">
      <c r="B25" s="4" t="inlineStr">
        <is>
          <t>Max drawdown</t>
        </is>
      </c>
      <c r="C25" s="5" t="n">
        <v>-0.3451713310038138</v>
      </c>
      <c r="D25" s="5" t="n">
        <v>-0.3267137811484944</v>
      </c>
      <c r="E25" s="5" t="n">
        <v>0</v>
      </c>
      <c r="F25" s="5" t="n">
        <v>-0.1842766611208697</v>
      </c>
      <c r="G25" s="5" t="n">
        <v>0</v>
      </c>
      <c r="H25" s="5" t="n">
        <v>-0.144579519138459</v>
      </c>
      <c r="I25" s="5" t="n">
        <v>0</v>
      </c>
      <c r="J25" s="19" t="inlineStr">
        <is>
          <t>Proxied by EZU (iShares MSCI Eurozone ETF), covering large/mid-cap eurozone equities; note that UK and Switzerland are excluded from this proxy (data from 2000).</t>
        </is>
      </c>
      <c r="L25" s="13" t="e">
        <v>#VALUE!</v>
      </c>
      <c r="N25" s="20" t="inlineStr">
        <is>
          <t>Strategy sharpe:</t>
        </is>
      </c>
      <c r="O25">
        <f>D27</f>
        <v/>
      </c>
      <c r="P25" s="20" t="inlineStr">
        <is>
          <t>???</t>
        </is>
      </c>
    </row>
    <row r="26" ht="13" customHeight="1" s="12">
      <c r="B26" s="4" t="inlineStr">
        <is>
          <t>Win rate</t>
        </is>
      </c>
      <c r="C26" s="6" t="n">
        <v>0.6</v>
      </c>
      <c r="D26" s="6" t="n">
        <v>0.8333333333333334</v>
      </c>
      <c r="E26" s="7" t="n">
        <v>0.75</v>
      </c>
      <c r="F26" s="6" t="n">
        <v>0.4285714285714285</v>
      </c>
      <c r="G26" s="7" t="n">
        <v>1</v>
      </c>
      <c r="H26" s="6" t="n">
        <v>0.3333333333333333</v>
      </c>
      <c r="I26" s="7" t="n">
        <v>0.6666666666666666</v>
      </c>
      <c r="N26" s="20" t="inlineStr">
        <is>
          <t>b&amp;h sharpe:</t>
        </is>
      </c>
      <c r="O26" t="n">
        <v>5.86</v>
      </c>
    </row>
    <row r="27" ht="13" customHeight="1" s="12">
      <c r="B27" s="4" t="inlineStr">
        <is>
          <t>Sharpe ratio</t>
        </is>
      </c>
      <c r="C27" s="8" t="n">
        <v>0.3427296729697488</v>
      </c>
      <c r="D27" s="8" t="n">
        <v>0.2938054779770772</v>
      </c>
      <c r="E27" s="8" t="n">
        <v>0.7644998448807382</v>
      </c>
      <c r="F27" s="8" t="n">
        <v>0.01814798840308725</v>
      </c>
      <c r="G27" s="8" t="n">
        <v>0.788878997455096</v>
      </c>
      <c r="H27" s="8" t="n">
        <v>-0.09826844808976255</v>
      </c>
      <c r="I27" s="8" t="n">
        <v>0.6151103382363017</v>
      </c>
      <c r="J27" s="19" t="inlineStr">
        <is>
          <t>Results mirror the EM pattern — strong trending behaviour rewarded the strategy in 2000–2010 (Sharpe 1.74), while the fragmented recovery of European equities post-2010 produced negative Sharpe ratios and large drawdowns (–32.67%), making this proxy one of the weaker performers in the sample.</t>
        </is>
      </c>
    </row>
    <row r="28" ht="30" customHeight="1" s="12">
      <c r="B28" s="16" t="inlineStr">
        <is>
          <t>Final equity</t>
        </is>
      </c>
      <c r="C28" s="18" t="n">
        <v>33337.36613071467</v>
      </c>
      <c r="D28" s="18" t="n">
        <v>14297.28001442521</v>
      </c>
      <c r="E28" s="18" t="n">
        <v>26237.88992434964</v>
      </c>
      <c r="F28" s="18" t="n">
        <v>10584.06154876715</v>
      </c>
      <c r="G28" s="18" t="n">
        <v>20336.78690339674</v>
      </c>
      <c r="H28" s="18" t="n">
        <v>8806.876781354098</v>
      </c>
      <c r="I28" s="18" t="n">
        <v>13786.88796246122</v>
      </c>
    </row>
    <row r="29" ht="15.75" customHeight="1" s="12">
      <c r="J29" s="20" t="n"/>
      <c r="K29" s="20" t="n"/>
    </row>
    <row r="30" ht="16" customHeight="1" s="12">
      <c r="B30" s="1" t="n"/>
      <c r="C30" s="11" t="inlineStr">
        <is>
          <t>iShares Gold Trust (IAU)</t>
        </is>
      </c>
      <c r="J30" s="20" t="n"/>
      <c r="K30" s="20" t="n"/>
    </row>
    <row r="31" ht="13" customHeight="1" s="12">
      <c r="B31" s="1" t="n"/>
      <c r="C31" s="3" t="inlineStr">
        <is>
          <t>last 50y</t>
        </is>
      </c>
      <c r="D31" s="3" t="inlineStr">
        <is>
          <t>last 10y</t>
        </is>
      </c>
      <c r="E31" s="3" t="inlineStr">
        <is>
          <t>2000-2010</t>
        </is>
      </c>
      <c r="F31" s="3" t="inlineStr">
        <is>
          <t>2010-2020</t>
        </is>
      </c>
      <c r="G31" s="3" t="inlineStr">
        <is>
          <t>last 7y</t>
        </is>
      </c>
      <c r="H31" s="3" t="inlineStr">
        <is>
          <t>2007-2012</t>
        </is>
      </c>
      <c r="I31" s="3" t="inlineStr">
        <is>
          <t>1995-2005</t>
        </is>
      </c>
      <c r="J31" s="20" t="n"/>
      <c r="K31" s="20" t="n"/>
    </row>
    <row r="32" ht="13" customHeight="1" s="12">
      <c r="B32" s="4" t="inlineStr">
        <is>
          <t>Max drawdown</t>
        </is>
      </c>
      <c r="C32" s="5" t="n">
        <v>-0.223523455804707</v>
      </c>
      <c r="D32" s="5" t="n">
        <v>-0.124057668818176</v>
      </c>
      <c r="E32" s="5" t="n">
        <v>0</v>
      </c>
      <c r="F32" s="5" t="n">
        <v>-0.2235234558047071</v>
      </c>
      <c r="G32" s="5" t="n">
        <v>-0.1240576688181762</v>
      </c>
      <c r="H32" s="5" t="n">
        <v>0</v>
      </c>
      <c r="I32" s="9" t="n"/>
      <c r="J32" s="19" t="inlineStr">
        <is>
          <t>ETF tracking the spot price of gold bullion, commonly used as an inflation hedge and safe-haven asset (data from 2005).</t>
        </is>
      </c>
      <c r="L32" s="13" t="e">
        <v>#VALUE!</v>
      </c>
      <c r="N32" s="20" t="inlineStr">
        <is>
          <t>Strategy sharpe:</t>
        </is>
      </c>
      <c r="O32">
        <f>D34</f>
        <v/>
      </c>
      <c r="P32" s="20" t="inlineStr">
        <is>
          <t>???</t>
        </is>
      </c>
    </row>
    <row r="33" ht="13" customHeight="1" s="12">
      <c r="B33" s="4" t="inlineStr">
        <is>
          <t>Win rate</t>
        </is>
      </c>
      <c r="C33" s="6" t="n">
        <v>0.5</v>
      </c>
      <c r="D33" s="6" t="n">
        <v>0.5714285714285714</v>
      </c>
      <c r="E33" s="7" t="n">
        <v>1</v>
      </c>
      <c r="F33" s="6" t="n">
        <v>0.4285714285714285</v>
      </c>
      <c r="G33" s="6" t="n">
        <v>0.3333333333333333</v>
      </c>
      <c r="H33" s="7" t="n">
        <v>1</v>
      </c>
      <c r="I33" s="8" t="n"/>
      <c r="N33" s="20" t="inlineStr">
        <is>
          <t>b&amp;h sharpe:</t>
        </is>
      </c>
      <c r="O33" t="n">
        <v>6.31</v>
      </c>
    </row>
    <row r="34" ht="13" customHeight="1" s="12">
      <c r="B34" s="4" t="inlineStr">
        <is>
          <t>Sharpe ratio</t>
        </is>
      </c>
      <c r="C34" s="8" t="n">
        <v>0.5876601888615491</v>
      </c>
      <c r="D34" s="8" t="n">
        <v>0.6886096205714182</v>
      </c>
      <c r="E34" s="8" t="n">
        <v>0.81417841381939</v>
      </c>
      <c r="F34" s="8" t="n">
        <v>0.1435015990789021</v>
      </c>
      <c r="G34" s="8" t="n">
        <v>0.5672211103544474</v>
      </c>
      <c r="H34" s="8" t="n">
        <v>0.7244780490748968</v>
      </c>
      <c r="I34" s="8" t="n"/>
      <c r="J34" s="19" t="inlineStr">
        <is>
          <t>The strategy captures gold's multi-year bull runs effectively (Sharpe 1.45 overall, and an outlier 20.28 in 2000–2010 driven by very few high-conviction trades), but performance deteriorates sharply in consolidation phases, with a –22.53% drawdown in 2010–2020 highlighting gold's periodic trendlessness.</t>
        </is>
      </c>
    </row>
    <row r="35" ht="30" customHeight="1" s="12">
      <c r="B35" s="16" t="inlineStr">
        <is>
          <t>Final equity</t>
        </is>
      </c>
      <c r="C35" s="18" t="n">
        <v>51631.96917785703</v>
      </c>
      <c r="D35" s="18" t="n">
        <v>24627.86130843943</v>
      </c>
      <c r="E35" s="18" t="n">
        <v>18553.03428533618</v>
      </c>
      <c r="F35" s="18" t="n">
        <v>11330.91139676624</v>
      </c>
      <c r="G35" s="18" t="n">
        <v>17330.53307447625</v>
      </c>
      <c r="H35" s="18" t="n">
        <v>17020.24825461079</v>
      </c>
      <c r="I35" s="17" t="n"/>
    </row>
    <row r="36" ht="15" customHeight="1" s="12">
      <c r="J36" s="20" t="n"/>
      <c r="K36" s="20" t="n"/>
    </row>
    <row r="37" ht="16" customHeight="1" s="12">
      <c r="B37" s="1" t="n"/>
      <c r="C37" s="11" t="inlineStr">
        <is>
          <t>Bitcoin USD Price (BTC-USD)</t>
        </is>
      </c>
      <c r="J37" s="20" t="n"/>
      <c r="K37" s="20" t="n"/>
    </row>
    <row r="38" ht="13" customHeight="1" s="12">
      <c r="B38" s="1" t="n"/>
      <c r="C38" s="3" t="inlineStr">
        <is>
          <t>last 50y</t>
        </is>
      </c>
      <c r="D38" s="3" t="inlineStr">
        <is>
          <t>last 10y</t>
        </is>
      </c>
      <c r="E38" s="3" t="inlineStr">
        <is>
          <t>2000-2010</t>
        </is>
      </c>
      <c r="F38" s="3" t="inlineStr">
        <is>
          <t>2010-2020</t>
        </is>
      </c>
      <c r="G38" s="3" t="inlineStr">
        <is>
          <t>last 7y</t>
        </is>
      </c>
      <c r="H38" s="3" t="inlineStr">
        <is>
          <t>2007-2012</t>
        </is>
      </c>
      <c r="I38" s="3" t="inlineStr">
        <is>
          <t>1995-2005</t>
        </is>
      </c>
      <c r="J38" s="20" t="n"/>
      <c r="K38" s="20" t="n"/>
    </row>
    <row r="39" ht="13" customHeight="1" s="12">
      <c r="B39" s="4" t="inlineStr">
        <is>
          <t>Max drawdown</t>
        </is>
      </c>
      <c r="C39" s="5" t="n">
        <v>-0.3009879278334893</v>
      </c>
      <c r="D39" s="5" t="n">
        <v>-0.3009879278334892</v>
      </c>
      <c r="E39" s="9" t="n"/>
      <c r="F39" s="5" t="n">
        <v>0</v>
      </c>
      <c r="G39" s="9" t="n">
        <v>-0.162518986421892</v>
      </c>
      <c r="H39" s="9" t="n"/>
      <c r="I39" s="9" t="n"/>
      <c r="J39" s="19" t="inlineStr">
        <is>
          <t>The leading cryptocurrency by market cap, characterized by extreme volatility and the absence of underlying cash flows (data from 2014).</t>
        </is>
      </c>
      <c r="L39" s="13" t="e">
        <v>#VALUE!</v>
      </c>
      <c r="N39" s="20" t="inlineStr">
        <is>
          <t>Strategy sharpe:</t>
        </is>
      </c>
      <c r="O39">
        <f>D41</f>
        <v/>
      </c>
    </row>
    <row r="40" ht="13" customHeight="1" s="12">
      <c r="B40" s="4" t="inlineStr">
        <is>
          <t>Win rate</t>
        </is>
      </c>
      <c r="C40" s="7" t="n">
        <v>0.5454545454545454</v>
      </c>
      <c r="D40" s="6" t="n">
        <v>0.6</v>
      </c>
      <c r="E40" s="8" t="n"/>
      <c r="F40" s="7" t="n">
        <v>0.6666666666666666</v>
      </c>
      <c r="G40" s="7" t="n">
        <v>0.5714285714285714</v>
      </c>
      <c r="H40" s="8" t="n"/>
      <c r="I40" s="8" t="n"/>
      <c r="N40" s="20" t="inlineStr">
        <is>
          <t>b&amp;h sharpe:</t>
        </is>
      </c>
      <c r="O40" t="n">
        <v>5.73</v>
      </c>
    </row>
    <row r="41" ht="13" customHeight="1" s="12">
      <c r="B41" s="4" t="inlineStr">
        <is>
          <t>Sharpe ratio</t>
        </is>
      </c>
      <c r="C41" s="8" t="n">
        <v>0.8576615303132131</v>
      </c>
      <c r="D41" s="8" t="n">
        <v>0.8142353355196018</v>
      </c>
      <c r="E41" s="8" t="n"/>
      <c r="F41" s="8" t="n">
        <v>1.13003858282153</v>
      </c>
      <c r="G41" s="8" t="n">
        <v>0.6964257966058638</v>
      </c>
      <c r="H41" s="8" t="n"/>
      <c r="I41" s="8" t="n"/>
      <c r="J41" s="19" t="inlineStr">
        <is>
          <t>Bitcoin's explosive and persistent upward trend makes it the single best-performing asset in absolute terms (final equity ~$1.4M over the available history), with Sharpe ratios above 1 across all periods where data exists; the –30% drawdowns are a reminder of the strategy's lag at trend reversals, but the overall picture is that BTC rewards trend-following more than any other asset in this sample.</t>
        </is>
      </c>
    </row>
    <row r="42" ht="30" customHeight="1" s="12">
      <c r="B42" s="16" t="inlineStr">
        <is>
          <t>Final equity</t>
        </is>
      </c>
      <c r="C42" s="18" t="n">
        <v>1370864.495642158</v>
      </c>
      <c r="D42" s="18" t="n">
        <v>474745.4611942234</v>
      </c>
      <c r="E42" s="17" t="n"/>
      <c r="F42" s="17" t="n">
        <v>328185.5209803265</v>
      </c>
      <c r="G42" s="18" t="n">
        <v>59757.22694591312</v>
      </c>
      <c r="H42" s="17" t="n"/>
      <c r="I42" s="17" t="n"/>
    </row>
  </sheetData>
  <mergeCells count="24">
    <mergeCell ref="C23:I23"/>
    <mergeCell ref="J4:K5"/>
    <mergeCell ref="J20:K21"/>
    <mergeCell ref="J32:K33"/>
    <mergeCell ref="L39:M42"/>
    <mergeCell ref="C37:I37"/>
    <mergeCell ref="L4:M7"/>
    <mergeCell ref="J18:K19"/>
    <mergeCell ref="J25:K26"/>
    <mergeCell ref="J41:K42"/>
    <mergeCell ref="L25:M28"/>
    <mergeCell ref="C30:I30"/>
    <mergeCell ref="L11:M14"/>
    <mergeCell ref="L32:M35"/>
    <mergeCell ref="J39:K40"/>
    <mergeCell ref="C16:I16"/>
    <mergeCell ref="J13:K14"/>
    <mergeCell ref="C9:I9"/>
    <mergeCell ref="J34:K35"/>
    <mergeCell ref="J27:K28"/>
    <mergeCell ref="J6:K7"/>
    <mergeCell ref="C2:I2"/>
    <mergeCell ref="J11:K12"/>
    <mergeCell ref="L18:M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2026-09-17T05:19:00Z</dcterms:created>
  <dcterms:modified xmlns:dcterms="http://purl.org/dc/terms/" xmlns:xsi="http://www.w3.org/2001/XMLSchema-instance" xsi:type="dcterms:W3CDTF">2026-09-17T05:19:05Z</dcterms:modified>
  <cp:lastModifiedBy>A00046437 Carlo Felice Cardon</cp:lastModifiedBy>
</cp:coreProperties>
</file>